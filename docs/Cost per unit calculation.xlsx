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v\Downloads\Final Couch to Coder 2024 website\yashv432.github.io\docs\"/>
    </mc:Choice>
  </mc:AlternateContent>
  <xr:revisionPtr revIDLastSave="0" documentId="13_ncr:1_{03D92A35-532D-44A8-9120-0A103D34ECB5}" xr6:coauthVersionLast="47" xr6:coauthVersionMax="47" xr10:uidLastSave="{00000000-0000-0000-0000-000000000000}"/>
  <bookViews>
    <workbookView xWindow="-98" yWindow="-98" windowWidth="19396" windowHeight="11475" xr2:uid="{B80BF410-154E-4A60-8685-422C7C147F4D}"/>
  </bookViews>
  <sheets>
    <sheet name="Cost per unit calc" sheetId="1" r:id="rId1"/>
  </sheets>
  <definedNames>
    <definedName name="solver_eng" localSheetId="0" hidden="1">0</definedName>
    <definedName name="solver_opt" localSheetId="0" hidden="1">'Cost per unit calc'!$B$10</definedName>
    <definedName name="solver_typ" localSheetId="0" hidden="1">3</definedName>
    <definedName name="solver_val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" i="1" l="1"/>
  <c r="M38" i="1"/>
  <c r="E38" i="1"/>
  <c r="G38" i="1"/>
  <c r="O27" i="1"/>
  <c r="M27" i="1"/>
  <c r="E28" i="1"/>
  <c r="G28" i="1"/>
  <c r="B13" i="1"/>
  <c r="B14" i="1" s="1"/>
  <c r="E3" i="1" s="1"/>
  <c r="O3" i="1"/>
  <c r="G3" i="1"/>
  <c r="J13" i="1"/>
  <c r="J14" i="1" s="1"/>
  <c r="M3" i="1" s="1"/>
  <c r="J28" i="1" l="1"/>
  <c r="J37" i="1"/>
  <c r="B37" i="1"/>
  <c r="B28" i="1"/>
  <c r="J10" i="1"/>
  <c r="B10" i="1"/>
</calcChain>
</file>

<file path=xl/sharedStrings.xml><?xml version="1.0" encoding="utf-8"?>
<sst xmlns="http://schemas.openxmlformats.org/spreadsheetml/2006/main" count="63" uniqueCount="28">
  <si>
    <t xml:space="preserve">Scrap fraction, f = </t>
  </si>
  <si>
    <t xml:space="preserve">Batch size, n = </t>
  </si>
  <si>
    <t>Load factor, L =</t>
  </si>
  <si>
    <t>Cost per unit, C (without extra stuff) =</t>
  </si>
  <si>
    <t>Cost per unit, C (with extra stuff) =</t>
  </si>
  <si>
    <r>
      <t>Capital cost, C</t>
    </r>
    <r>
      <rPr>
        <sz val="8"/>
        <color rgb="FF00B050"/>
        <rFont val="Aptos Narrow"/>
        <family val="2"/>
        <scheme val="minor"/>
      </rPr>
      <t xml:space="preserve">c </t>
    </r>
    <r>
      <rPr>
        <sz val="11"/>
        <color rgb="FF00B050"/>
        <rFont val="Aptos Narrow"/>
        <family val="2"/>
        <scheme val="minor"/>
      </rPr>
      <t xml:space="preserve">= </t>
    </r>
  </si>
  <si>
    <r>
      <t>Write-off time, t</t>
    </r>
    <r>
      <rPr>
        <sz val="8"/>
        <color rgb="FF00B050"/>
        <rFont val="Aptos Narrow"/>
        <family val="2"/>
        <scheme val="minor"/>
      </rPr>
      <t>wo</t>
    </r>
    <r>
      <rPr>
        <sz val="11"/>
        <color rgb="FF00B050"/>
        <rFont val="Aptos Narrow"/>
        <family val="2"/>
        <scheme val="minor"/>
      </rPr>
      <t xml:space="preserve"> = </t>
    </r>
  </si>
  <si>
    <r>
      <t>Gross overhead rate, C</t>
    </r>
    <r>
      <rPr>
        <sz val="8"/>
        <color rgb="FF00B050"/>
        <rFont val="Aptos Narrow"/>
        <family val="2"/>
        <scheme val="minor"/>
      </rPr>
      <t>oh</t>
    </r>
    <r>
      <rPr>
        <sz val="11"/>
        <color rgb="FF00B050"/>
        <rFont val="Aptos Narrow"/>
        <family val="2"/>
        <scheme val="minor"/>
      </rPr>
      <t xml:space="preserve">_dot = </t>
    </r>
  </si>
  <si>
    <t>mass per unit, m (kg) =</t>
  </si>
  <si>
    <t>Waste mass per unit (kg) =</t>
  </si>
  <si>
    <t xml:space="preserve">Total mass per unit (kg) = </t>
  </si>
  <si>
    <r>
      <t>Material costs, C</t>
    </r>
    <r>
      <rPr>
        <sz val="8"/>
        <color rgb="FF00B050"/>
        <rFont val="Aptos Narrow"/>
        <family val="2"/>
        <scheme val="minor"/>
      </rPr>
      <t xml:space="preserve">m </t>
    </r>
    <r>
      <rPr>
        <sz val="11"/>
        <color rgb="FF00B050"/>
        <rFont val="Aptos Narrow"/>
        <family val="2"/>
        <scheme val="minor"/>
      </rPr>
      <t>(£/kg) =</t>
    </r>
  </si>
  <si>
    <r>
      <t>Tooling cost, C</t>
    </r>
    <r>
      <rPr>
        <sz val="8"/>
        <color rgb="FF00B050"/>
        <rFont val="Aptos Narrow"/>
        <family val="2"/>
        <scheme val="minor"/>
      </rPr>
      <t>t</t>
    </r>
    <r>
      <rPr>
        <sz val="11"/>
        <color rgb="FF00B050"/>
        <rFont val="Aptos Narrow"/>
        <family val="2"/>
        <scheme val="minor"/>
      </rPr>
      <t xml:space="preserve"> (£) = </t>
    </r>
  </si>
  <si>
    <t>Key</t>
  </si>
  <si>
    <t>Red = Don’t change</t>
  </si>
  <si>
    <t>Green = Change values</t>
  </si>
  <si>
    <t>METHOD 1</t>
  </si>
  <si>
    <t>METHOD 2</t>
  </si>
  <si>
    <t>n</t>
  </si>
  <si>
    <t>C =</t>
  </si>
  <si>
    <t>+</t>
  </si>
  <si>
    <t>Equation 1:</t>
  </si>
  <si>
    <t>Equation 2:</t>
  </si>
  <si>
    <t>Solve equation 1 and 2 to obtain crossover point</t>
  </si>
  <si>
    <t>Rate of production, n_dot (parts/sec) =</t>
  </si>
  <si>
    <t>If combined given, use this and ignore the 5 cells below</t>
  </si>
  <si>
    <t>Extra: if capital/labour/energy is not ignored</t>
  </si>
  <si>
    <r>
      <t>Combined running costs, C</t>
    </r>
    <r>
      <rPr>
        <sz val="8"/>
        <color rgb="FF00B050"/>
        <rFont val="Aptos Narrow"/>
        <family val="2"/>
        <scheme val="minor"/>
      </rPr>
      <t>r</t>
    </r>
    <r>
      <rPr>
        <sz val="11"/>
        <color rgb="FF00B050"/>
        <rFont val="Aptos Narrow"/>
        <family val="2"/>
        <scheme val="minor"/>
      </rPr>
      <t xml:space="preserve"> (£/sec)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</si>
</sst>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8"/>
      <color rgb="FF00B05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7" xfId="0" applyFill="1" applyBorder="1"/>
    <xf numFmtId="0" fontId="0" fillId="0" borderId="1" xfId="0" applyBorder="1"/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0" xfId="0" applyBorder="1"/>
    <xf numFmtId="0" fontId="0" fillId="2" borderId="1" xfId="0" applyFill="1" applyBorder="1" applyAlignment="1">
      <alignment horizontal="center"/>
    </xf>
    <xf numFmtId="0" fontId="1" fillId="2" borderId="5" xfId="0" applyFont="1" applyFill="1" applyBorder="1"/>
    <xf numFmtId="0" fontId="2" fillId="2" borderId="4" xfId="0" applyFont="1" applyFill="1" applyBorder="1"/>
    <xf numFmtId="0" fontId="1" fillId="0" borderId="0" xfId="0" applyFont="1"/>
    <xf numFmtId="0" fontId="2" fillId="0" borderId="11" xfId="0" applyFont="1" applyBorder="1"/>
    <xf numFmtId="0" fontId="0" fillId="0" borderId="12" xfId="0" applyBorder="1"/>
    <xf numFmtId="0" fontId="2" fillId="0" borderId="13" xfId="0" applyFont="1" applyBorder="1"/>
    <xf numFmtId="0" fontId="0" fillId="0" borderId="14" xfId="0" applyBorder="1"/>
    <xf numFmtId="0" fontId="1" fillId="0" borderId="13" xfId="0" applyFont="1" applyBorder="1"/>
    <xf numFmtId="0" fontId="2" fillId="0" borderId="15" xfId="0" applyFont="1" applyBorder="1"/>
    <xf numFmtId="0" fontId="0" fillId="0" borderId="16" xfId="0" applyBorder="1"/>
    <xf numFmtId="0" fontId="1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61233</xdr:rowOff>
    </xdr:from>
    <xdr:to>
      <xdr:col>1</xdr:col>
      <xdr:colOff>869171</xdr:colOff>
      <xdr:row>8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F27E4E-6E98-D8B5-C3E6-9168AB934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246442"/>
          <a:ext cx="3153407" cy="133047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17</xdr:row>
      <xdr:rowOff>102053</xdr:rowOff>
    </xdr:from>
    <xdr:to>
      <xdr:col>2</xdr:col>
      <xdr:colOff>31178</xdr:colOff>
      <xdr:row>25</xdr:row>
      <xdr:rowOff>74839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A9F128-5F15-4C13-C7D6-64305A2C3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50596"/>
          <a:ext cx="3197359" cy="145445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0</xdr:colOff>
      <xdr:row>31</xdr:row>
      <xdr:rowOff>1</xdr:rowOff>
    </xdr:from>
    <xdr:to>
      <xdr:col>2</xdr:col>
      <xdr:colOff>142875</xdr:colOff>
      <xdr:row>35</xdr:row>
      <xdr:rowOff>44167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A73A93-4435-3C75-463E-EA11C87D6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694591"/>
          <a:ext cx="3313339" cy="77895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34017</xdr:colOff>
      <xdr:row>1</xdr:row>
      <xdr:rowOff>61232</xdr:rowOff>
    </xdr:from>
    <xdr:to>
      <xdr:col>10</xdr:col>
      <xdr:colOff>18723</xdr:colOff>
      <xdr:row>8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01E0A3D-4157-4D64-8059-B65BE055D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9410" y="244929"/>
          <a:ext cx="3155170" cy="131989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13608</xdr:colOff>
      <xdr:row>17</xdr:row>
      <xdr:rowOff>102053</xdr:rowOff>
    </xdr:from>
    <xdr:to>
      <xdr:col>10</xdr:col>
      <xdr:colOff>44786</xdr:colOff>
      <xdr:row>25</xdr:row>
      <xdr:rowOff>74839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1E3E0A-1F3E-4D40-BEC8-CBAA20283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9001" y="3224893"/>
          <a:ext cx="3201642" cy="144235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8</xdr:col>
      <xdr:colOff>20411</xdr:colOff>
      <xdr:row>30</xdr:row>
      <xdr:rowOff>163286</xdr:rowOff>
    </xdr:from>
    <xdr:to>
      <xdr:col>10</xdr:col>
      <xdr:colOff>163286</xdr:colOff>
      <xdr:row>35</xdr:row>
      <xdr:rowOff>23755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7DC6210-E420-4B1E-B80E-409F109CA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45804" y="5674179"/>
          <a:ext cx="3313339" cy="77895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61A9D1-2DED-41F4-95EC-B8BE2BB03763}">
  <we:reference id="wa104100404" version="3.0.0.1" store="en-GB" storeType="OMEX"/>
  <we:alternateReferences>
    <we:reference id="wa104100404" version="3.0.0.1" store="wa104100404" storeType="OMEX"/>
  </we:alternateReferences>
  <we:properties>
    <we:property name="UniqueID" value="&quot;202533017460259143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9D6D-5DCF-4633-8CF5-DEDA252EA24D}">
  <dimension ref="A1:Q41"/>
  <sheetViews>
    <sheetView tabSelected="1" zoomScale="54" zoomScaleNormal="70" workbookViewId="0">
      <selection activeCell="I37" sqref="I37"/>
    </sheetView>
  </sheetViews>
  <sheetFormatPr defaultRowHeight="14.25" x14ac:dyDescent="0.45"/>
  <cols>
    <col min="1" max="1" width="32" bestFit="1" customWidth="1"/>
    <col min="2" max="2" width="12.33203125" customWidth="1"/>
    <col min="4" max="4" width="9.86328125" bestFit="1" customWidth="1"/>
    <col min="7" max="7" width="10.6640625" customWidth="1"/>
    <col min="9" max="9" width="32" bestFit="1" customWidth="1"/>
    <col min="10" max="10" width="12.33203125" bestFit="1" customWidth="1"/>
    <col min="12" max="12" width="9.86328125" bestFit="1" customWidth="1"/>
    <col min="15" max="15" width="11.46484375" customWidth="1"/>
    <col min="17" max="17" width="19.19921875" bestFit="1" customWidth="1"/>
  </cols>
  <sheetData>
    <row r="1" spans="1:17" ht="14.65" thickBot="1" x14ac:dyDescent="0.5">
      <c r="A1" s="20" t="s">
        <v>16</v>
      </c>
      <c r="B1" s="21"/>
      <c r="C1" s="21"/>
      <c r="D1" s="21"/>
      <c r="E1" s="21"/>
      <c r="F1" s="21"/>
      <c r="G1" s="22"/>
      <c r="I1" s="20" t="s">
        <v>17</v>
      </c>
      <c r="J1" s="21"/>
      <c r="K1" s="21"/>
      <c r="L1" s="21"/>
      <c r="M1" s="21"/>
      <c r="N1" s="21"/>
      <c r="O1" s="22"/>
    </row>
    <row r="2" spans="1:17" ht="14.65" thickBot="1" x14ac:dyDescent="0.5">
      <c r="D2" s="3" t="s">
        <v>21</v>
      </c>
      <c r="L2" s="7" t="s">
        <v>22</v>
      </c>
      <c r="Q2" s="8" t="s">
        <v>13</v>
      </c>
    </row>
    <row r="3" spans="1:17" x14ac:dyDescent="0.45">
      <c r="D3" s="4" t="s">
        <v>19</v>
      </c>
      <c r="E3" s="4" t="e">
        <f>((B11*B15)/(1-B14))</f>
        <v>#DIV/0!</v>
      </c>
      <c r="F3" s="4" t="s">
        <v>20</v>
      </c>
      <c r="G3" s="5">
        <f>B16</f>
        <v>0</v>
      </c>
      <c r="L3" s="4" t="s">
        <v>19</v>
      </c>
      <c r="M3" s="4" t="e">
        <f>((J11*J15)/(1-J14))</f>
        <v>#DIV/0!</v>
      </c>
      <c r="N3" s="4" t="s">
        <v>20</v>
      </c>
      <c r="O3" s="5">
        <f>J16</f>
        <v>0</v>
      </c>
      <c r="Q3" s="9" t="s">
        <v>14</v>
      </c>
    </row>
    <row r="4" spans="1:17" x14ac:dyDescent="0.45">
      <c r="D4" s="1"/>
      <c r="E4" s="1"/>
      <c r="F4" s="1"/>
      <c r="G4" s="6" t="s">
        <v>18</v>
      </c>
      <c r="L4" s="1"/>
      <c r="M4" s="1"/>
      <c r="N4" s="1"/>
      <c r="O4" s="6" t="s">
        <v>18</v>
      </c>
      <c r="Q4" s="10" t="s">
        <v>15</v>
      </c>
    </row>
    <row r="6" spans="1:17" x14ac:dyDescent="0.45">
      <c r="D6" s="19" t="s">
        <v>23</v>
      </c>
      <c r="E6" s="19"/>
      <c r="F6" s="19"/>
      <c r="G6" s="19"/>
      <c r="L6" s="19" t="s">
        <v>23</v>
      </c>
      <c r="M6" s="19"/>
      <c r="N6" s="19"/>
      <c r="O6" s="19"/>
    </row>
    <row r="9" spans="1:17" ht="14.65" thickBot="1" x14ac:dyDescent="0.5"/>
    <row r="10" spans="1:17" ht="14.65" thickBot="1" x14ac:dyDescent="0.5">
      <c r="A10" s="25" t="s">
        <v>3</v>
      </c>
      <c r="B10" s="2" t="e">
        <f>((B11*B15)/(1-B14)) + (B16/B17)</f>
        <v>#DIV/0!</v>
      </c>
      <c r="I10" s="25" t="s">
        <v>3</v>
      </c>
      <c r="J10" s="2" t="e">
        <f>((J11*J15)/(1-J14)) + (J16/J17)</f>
        <v>#DIV/0!</v>
      </c>
    </row>
    <row r="11" spans="1:17" x14ac:dyDescent="0.45">
      <c r="A11" s="12" t="s">
        <v>8</v>
      </c>
      <c r="B11" s="13"/>
      <c r="I11" s="12" t="s">
        <v>8</v>
      </c>
      <c r="J11" s="13"/>
    </row>
    <row r="12" spans="1:17" x14ac:dyDescent="0.45">
      <c r="A12" s="14" t="s">
        <v>9</v>
      </c>
      <c r="B12" s="15"/>
      <c r="I12" s="14" t="s">
        <v>9</v>
      </c>
      <c r="J12" s="15"/>
    </row>
    <row r="13" spans="1:17" x14ac:dyDescent="0.45">
      <c r="A13" s="16" t="s">
        <v>10</v>
      </c>
      <c r="B13" s="15">
        <f>B11+B12</f>
        <v>0</v>
      </c>
      <c r="I13" s="16" t="s">
        <v>10</v>
      </c>
      <c r="J13" s="15">
        <f>J11+J12</f>
        <v>0</v>
      </c>
    </row>
    <row r="14" spans="1:17" x14ac:dyDescent="0.45">
      <c r="A14" s="16" t="s">
        <v>0</v>
      </c>
      <c r="B14" s="15" t="e">
        <f>B12/B13</f>
        <v>#DIV/0!</v>
      </c>
      <c r="I14" s="16" t="s">
        <v>0</v>
      </c>
      <c r="J14" s="15" t="e">
        <f>J12/J13</f>
        <v>#DIV/0!</v>
      </c>
    </row>
    <row r="15" spans="1:17" x14ac:dyDescent="0.45">
      <c r="A15" s="14" t="s">
        <v>11</v>
      </c>
      <c r="B15" s="15"/>
      <c r="I15" s="14" t="s">
        <v>11</v>
      </c>
      <c r="J15" s="15"/>
    </row>
    <row r="16" spans="1:17" x14ac:dyDescent="0.45">
      <c r="A16" s="14" t="s">
        <v>12</v>
      </c>
      <c r="B16" s="15"/>
      <c r="I16" s="14" t="s">
        <v>12</v>
      </c>
      <c r="J16" s="15"/>
    </row>
    <row r="17" spans="1:15" ht="14.65" thickBot="1" x14ac:dyDescent="0.5">
      <c r="A17" s="17" t="s">
        <v>1</v>
      </c>
      <c r="B17" s="18"/>
      <c r="I17" s="17" t="s">
        <v>1</v>
      </c>
      <c r="J17" s="18"/>
    </row>
    <row r="26" spans="1:15" ht="14.65" thickBot="1" x14ac:dyDescent="0.5"/>
    <row r="27" spans="1:15" ht="14.65" thickBot="1" x14ac:dyDescent="0.5">
      <c r="A27" s="23" t="s">
        <v>26</v>
      </c>
      <c r="B27" s="24"/>
      <c r="I27" s="23" t="s">
        <v>26</v>
      </c>
      <c r="J27" s="24"/>
      <c r="L27" s="4" t="s">
        <v>19</v>
      </c>
      <c r="M27" s="4" t="e">
        <f>((J10*J14)/(1-J13)) + ((1/J28)*(J29))</f>
        <v>#DIV/0!</v>
      </c>
      <c r="N27" s="4" t="s">
        <v>20</v>
      </c>
      <c r="O27" s="5">
        <f>J40</f>
        <v>0</v>
      </c>
    </row>
    <row r="28" spans="1:15" ht="14.65" thickBot="1" x14ac:dyDescent="0.5">
      <c r="A28" s="25" t="s">
        <v>4</v>
      </c>
      <c r="B28" s="2" t="e">
        <f>((B11*B15)/(1-B14)) + (B16/B17) + (1/B29)*(B30)</f>
        <v>#DIV/0!</v>
      </c>
      <c r="D28" s="4" t="s">
        <v>19</v>
      </c>
      <c r="E28" s="4" t="e">
        <f>((B11*B15)/(1-B14)) + ((1/B29)*(B30))</f>
        <v>#DIV/0!</v>
      </c>
      <c r="F28" s="4" t="s">
        <v>20</v>
      </c>
      <c r="G28" s="5">
        <f>B41</f>
        <v>0</v>
      </c>
      <c r="I28" s="25" t="s">
        <v>4</v>
      </c>
      <c r="J28" s="2" t="e">
        <f>((J11*J15)/(1-J14)) + (J16/J17) + (1/J29)*(J30)</f>
        <v>#DIV/0!</v>
      </c>
      <c r="L28" s="1"/>
      <c r="M28" s="1"/>
      <c r="N28" s="1"/>
      <c r="O28" s="6" t="s">
        <v>18</v>
      </c>
    </row>
    <row r="29" spans="1:15" x14ac:dyDescent="0.45">
      <c r="A29" s="14" t="s">
        <v>24</v>
      </c>
      <c r="B29" s="15"/>
      <c r="D29" s="1"/>
      <c r="E29" s="1"/>
      <c r="F29" s="1"/>
      <c r="G29" s="6" t="s">
        <v>18</v>
      </c>
      <c r="I29" s="14" t="s">
        <v>24</v>
      </c>
      <c r="J29" s="15"/>
    </row>
    <row r="30" spans="1:15" ht="14.65" thickBot="1" x14ac:dyDescent="0.5">
      <c r="A30" s="17" t="s">
        <v>27</v>
      </c>
      <c r="B30" s="18"/>
      <c r="C30" s="11" t="s">
        <v>25</v>
      </c>
      <c r="I30" s="17" t="s">
        <v>27</v>
      </c>
      <c r="J30" s="18"/>
      <c r="K30" s="11" t="s">
        <v>25</v>
      </c>
    </row>
    <row r="36" spans="1:15" ht="14.65" thickBot="1" x14ac:dyDescent="0.5"/>
    <row r="37" spans="1:15" ht="14.65" thickBot="1" x14ac:dyDescent="0.5">
      <c r="A37" s="25" t="s">
        <v>4</v>
      </c>
      <c r="B37" s="2" t="e">
        <f>((B11*B15)/(1-B14)) + (B16/B17) + (1/B29)*((B38/(B39*B40))+(B41))</f>
        <v>#DIV/0!</v>
      </c>
      <c r="I37" s="25" t="s">
        <v>4</v>
      </c>
      <c r="J37" s="2" t="e">
        <f>((J11*J15)/(1-J14)) + (J16/J17) + (1/J29)*((J38/(J39*J40))+(J41))</f>
        <v>#DIV/0!</v>
      </c>
    </row>
    <row r="38" spans="1:15" x14ac:dyDescent="0.45">
      <c r="A38" s="12" t="s">
        <v>5</v>
      </c>
      <c r="B38" s="13"/>
      <c r="D38" s="4" t="s">
        <v>19</v>
      </c>
      <c r="E38" s="4" t="e">
        <f>((B11*B15)/(1-B14)) + ((1/B29)*((B38/(B39*B40))+B41))</f>
        <v>#DIV/0!</v>
      </c>
      <c r="F38" s="4" t="s">
        <v>20</v>
      </c>
      <c r="G38" s="5">
        <f>B50</f>
        <v>0</v>
      </c>
      <c r="I38" s="12" t="s">
        <v>5</v>
      </c>
      <c r="J38" s="13"/>
      <c r="L38" s="4" t="s">
        <v>19</v>
      </c>
      <c r="M38" s="4" t="e">
        <f>((J11*J15)/(1-J14)) + ((1/J29)*((J38/(J39*J40))+J41))</f>
        <v>#DIV/0!</v>
      </c>
      <c r="N38" s="4" t="s">
        <v>20</v>
      </c>
      <c r="O38" s="5">
        <f>J50</f>
        <v>0</v>
      </c>
    </row>
    <row r="39" spans="1:15" x14ac:dyDescent="0.45">
      <c r="A39" s="14" t="s">
        <v>2</v>
      </c>
      <c r="B39" s="15"/>
      <c r="D39" s="1"/>
      <c r="E39" s="1"/>
      <c r="F39" s="1"/>
      <c r="G39" s="6" t="s">
        <v>18</v>
      </c>
      <c r="I39" s="14" t="s">
        <v>2</v>
      </c>
      <c r="J39" s="15"/>
      <c r="L39" s="1"/>
      <c r="M39" s="1"/>
      <c r="N39" s="1"/>
      <c r="O39" s="6" t="s">
        <v>18</v>
      </c>
    </row>
    <row r="40" spans="1:15" x14ac:dyDescent="0.45">
      <c r="A40" s="14" t="s">
        <v>6</v>
      </c>
      <c r="B40" s="15"/>
      <c r="I40" s="14" t="s">
        <v>6</v>
      </c>
      <c r="J40" s="15"/>
    </row>
    <row r="41" spans="1:15" ht="14.65" thickBot="1" x14ac:dyDescent="0.5">
      <c r="A41" s="17" t="s">
        <v>7</v>
      </c>
      <c r="B41" s="18"/>
      <c r="I41" s="17" t="s">
        <v>7</v>
      </c>
      <c r="J41" s="18"/>
    </row>
  </sheetData>
  <mergeCells count="6">
    <mergeCell ref="A27:B27"/>
    <mergeCell ref="I27:J27"/>
    <mergeCell ref="L6:O6"/>
    <mergeCell ref="I1:O1"/>
    <mergeCell ref="A1:G1"/>
    <mergeCell ref="D6:G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per unit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Vaghela</dc:creator>
  <cp:lastModifiedBy>Yash Vaghela</cp:lastModifiedBy>
  <dcterms:created xsi:type="dcterms:W3CDTF">2025-04-30T14:11:32Z</dcterms:created>
  <dcterms:modified xsi:type="dcterms:W3CDTF">2025-05-24T08:29:43Z</dcterms:modified>
</cp:coreProperties>
</file>