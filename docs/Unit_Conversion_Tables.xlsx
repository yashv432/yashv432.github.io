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v\Downloads\"/>
    </mc:Choice>
  </mc:AlternateContent>
  <xr:revisionPtr revIDLastSave="0" documentId="13_ncr:1_{B855A7FF-ED92-477E-BE25-8C46202A9D55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Conversion tab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E24" i="1"/>
  <c r="F24" i="1"/>
  <c r="D23" i="1"/>
  <c r="E23" i="1"/>
  <c r="F23" i="1"/>
  <c r="D22" i="1"/>
  <c r="E22" i="1"/>
  <c r="F22" i="1"/>
  <c r="D21" i="1"/>
  <c r="E21" i="1"/>
  <c r="F21" i="1"/>
  <c r="C24" i="1"/>
  <c r="C23" i="1"/>
  <c r="C22" i="1"/>
  <c r="C21" i="1"/>
  <c r="D18" i="1"/>
  <c r="E18" i="1"/>
  <c r="F18" i="1"/>
  <c r="G18" i="1"/>
  <c r="H18" i="1"/>
  <c r="D17" i="1"/>
  <c r="E17" i="1"/>
  <c r="F17" i="1"/>
  <c r="G17" i="1"/>
  <c r="H17" i="1"/>
  <c r="D16" i="1"/>
  <c r="E16" i="1"/>
  <c r="F16" i="1"/>
  <c r="G16" i="1"/>
  <c r="H16" i="1"/>
  <c r="D15" i="1"/>
  <c r="E15" i="1"/>
  <c r="F15" i="1"/>
  <c r="G15" i="1"/>
  <c r="H15" i="1"/>
  <c r="C18" i="1"/>
  <c r="C17" i="1"/>
  <c r="C16" i="1"/>
  <c r="C15" i="1"/>
  <c r="D14" i="1"/>
  <c r="E14" i="1"/>
  <c r="F14" i="1"/>
  <c r="G14" i="1"/>
  <c r="H14" i="1"/>
  <c r="C14" i="1"/>
  <c r="D13" i="1"/>
  <c r="E13" i="1"/>
  <c r="F13" i="1"/>
  <c r="G13" i="1"/>
  <c r="H13" i="1"/>
  <c r="C13" i="1"/>
  <c r="R6" i="1"/>
  <c r="R5" i="1"/>
  <c r="Q6" i="1"/>
  <c r="Q5" i="1"/>
  <c r="N6" i="1"/>
  <c r="M8" i="1"/>
  <c r="M7" i="1"/>
  <c r="M6" i="1"/>
  <c r="P10" i="1"/>
  <c r="P9" i="1"/>
  <c r="P8" i="1"/>
  <c r="P7" i="1"/>
  <c r="P6" i="1"/>
  <c r="P5" i="1"/>
  <c r="O5" i="1"/>
  <c r="O6" i="1"/>
  <c r="N5" i="1"/>
  <c r="H10" i="1"/>
  <c r="G10" i="1"/>
  <c r="F10" i="1"/>
  <c r="E10" i="1"/>
  <c r="D10" i="1"/>
  <c r="C10" i="1"/>
  <c r="H9" i="1"/>
  <c r="G9" i="1"/>
  <c r="F9" i="1"/>
  <c r="E9" i="1"/>
  <c r="D9" i="1"/>
  <c r="C9" i="1"/>
  <c r="H8" i="1"/>
  <c r="G8" i="1"/>
  <c r="F8" i="1"/>
  <c r="E8" i="1"/>
  <c r="D8" i="1"/>
  <c r="C8" i="1"/>
  <c r="H7" i="1"/>
  <c r="G7" i="1"/>
  <c r="F7" i="1"/>
  <c r="E7" i="1"/>
  <c r="D7" i="1"/>
  <c r="C7" i="1"/>
  <c r="H6" i="1"/>
  <c r="G6" i="1"/>
  <c r="F6" i="1"/>
  <c r="E6" i="1"/>
  <c r="D6" i="1"/>
  <c r="C6" i="1"/>
  <c r="H5" i="1"/>
  <c r="G5" i="1"/>
  <c r="F5" i="1"/>
  <c r="E5" i="1"/>
  <c r="D5" i="1"/>
  <c r="C5" i="1"/>
</calcChain>
</file>

<file path=xl/sharedStrings.xml><?xml version="1.0" encoding="utf-8"?>
<sst xmlns="http://schemas.openxmlformats.org/spreadsheetml/2006/main" count="76" uniqueCount="23">
  <si>
    <t>MPa</t>
  </si>
  <si>
    <t>dyn/cm²</t>
  </si>
  <si>
    <t>lb/in²</t>
  </si>
  <si>
    <t>kgf/mm²</t>
  </si>
  <si>
    <t>bar</t>
  </si>
  <si>
    <t>long ton/in²</t>
  </si>
  <si>
    <t>J</t>
  </si>
  <si>
    <t>erg</t>
  </si>
  <si>
    <t>cal</t>
  </si>
  <si>
    <t>eV</t>
  </si>
  <si>
    <t>Btu</t>
  </si>
  <si>
    <t>ft lbf</t>
  </si>
  <si>
    <t>kW (kJ/s)</t>
  </si>
  <si>
    <t>erg/s</t>
  </si>
  <si>
    <t>hp</t>
  </si>
  <si>
    <t>ft lbf/s</t>
  </si>
  <si>
    <t>Enter value</t>
  </si>
  <si>
    <t>Stress/Pressure</t>
  </si>
  <si>
    <t xml:space="preserve"> </t>
  </si>
  <si>
    <t>Energy</t>
  </si>
  <si>
    <t>Power</t>
  </si>
  <si>
    <t>Calculation Tables</t>
  </si>
  <si>
    <t>Reference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</si>
</sst>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2" borderId="2" xfId="0" applyFont="1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1" fillId="0" borderId="19" xfId="0" applyFont="1" applyBorder="1" applyAlignment="1">
      <alignment horizontal="center" vertical="top"/>
    </xf>
    <xf numFmtId="0" fontId="1" fillId="0" borderId="4" xfId="0" applyFont="1" applyBorder="1"/>
    <xf numFmtId="0" fontId="1" fillId="0" borderId="20" xfId="0" applyFont="1" applyBorder="1"/>
    <xf numFmtId="0" fontId="0" fillId="0" borderId="1" xfId="0" applyBorder="1"/>
    <xf numFmtId="0" fontId="0" fillId="0" borderId="19" xfId="0" applyBorder="1"/>
    <xf numFmtId="0" fontId="1" fillId="0" borderId="2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1" fillId="0" borderId="17" xfId="0" applyFont="1" applyBorder="1" applyAlignment="1">
      <alignment horizontal="center" vertical="top"/>
    </xf>
    <xf numFmtId="0" fontId="1" fillId="0" borderId="18" xfId="0" applyFont="1" applyBorder="1" applyAlignment="1">
      <alignment horizontal="center" vertical="top"/>
    </xf>
    <xf numFmtId="0" fontId="1" fillId="0" borderId="5" xfId="0" applyFont="1" applyBorder="1"/>
    <xf numFmtId="0" fontId="1" fillId="0" borderId="6" xfId="0" applyFont="1" applyBorder="1"/>
    <xf numFmtId="0" fontId="1" fillId="0" borderId="22" xfId="0" applyFont="1" applyBorder="1"/>
    <xf numFmtId="0" fontId="1" fillId="0" borderId="17" xfId="0" applyFont="1" applyBorder="1"/>
    <xf numFmtId="0" fontId="1" fillId="0" borderId="18" xfId="0" applyFont="1" applyBorder="1"/>
    <xf numFmtId="0" fontId="0" fillId="0" borderId="0" xfId="0" applyFill="1" applyBorder="1"/>
    <xf numFmtId="0" fontId="1" fillId="0" borderId="15" xfId="0" applyFont="1" applyBorder="1"/>
    <xf numFmtId="0" fontId="2" fillId="0" borderId="23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Border="1" applyAlignment="1">
      <alignment horizontal="center" vertical="top"/>
    </xf>
    <xf numFmtId="0" fontId="0" fillId="0" borderId="0" xfId="0" applyBorder="1"/>
    <xf numFmtId="0" fontId="1" fillId="0" borderId="0" xfId="0" applyFont="1" applyBorder="1"/>
    <xf numFmtId="0" fontId="0" fillId="4" borderId="0" xfId="0" applyFill="1" applyBorder="1" applyAlignment="1">
      <alignment horizontal="center"/>
    </xf>
    <xf numFmtId="0" fontId="0" fillId="4" borderId="0" xfId="0" applyFill="1"/>
    <xf numFmtId="0" fontId="1" fillId="4" borderId="0" xfId="0" applyFont="1" applyFill="1" applyBorder="1" applyAlignment="1">
      <alignment horizontal="center" vertical="top"/>
    </xf>
    <xf numFmtId="0" fontId="0" fillId="4" borderId="0" xfId="0" applyFill="1" applyBorder="1"/>
    <xf numFmtId="0" fontId="1" fillId="4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6"/>
  <sheetViews>
    <sheetView tabSelected="1" workbookViewId="0">
      <selection activeCell="I6" sqref="I6"/>
    </sheetView>
  </sheetViews>
  <sheetFormatPr defaultRowHeight="14.25" x14ac:dyDescent="0.45"/>
  <cols>
    <col min="1" max="1" width="13.46484375" bestFit="1" customWidth="1"/>
    <col min="2" max="2" width="9.9296875" bestFit="1" customWidth="1"/>
    <col min="3" max="3" width="8.73046875" bestFit="1" customWidth="1"/>
    <col min="4" max="4" width="9.73046875" bestFit="1" customWidth="1"/>
    <col min="5" max="6" width="8.73046875" bestFit="1" customWidth="1"/>
    <col min="7" max="7" width="7.73046875" bestFit="1" customWidth="1"/>
    <col min="8" max="8" width="10.53125" bestFit="1" customWidth="1"/>
    <col min="9" max="10" width="10.53125" customWidth="1"/>
    <col min="12" max="12" width="13.46484375" bestFit="1" customWidth="1"/>
    <col min="13" max="13" width="9.73046875" bestFit="1" customWidth="1"/>
    <col min="14" max="14" width="11.73046875" bestFit="1" customWidth="1"/>
    <col min="15" max="15" width="9.73046875" bestFit="1" customWidth="1"/>
    <col min="16" max="17" width="8.73046875" bestFit="1" customWidth="1"/>
    <col min="18" max="19" width="10.53125" bestFit="1" customWidth="1"/>
  </cols>
  <sheetData>
    <row r="1" spans="1:18" x14ac:dyDescent="0.45">
      <c r="A1" s="33" t="s">
        <v>21</v>
      </c>
      <c r="B1" s="34"/>
      <c r="C1" s="34"/>
      <c r="D1" s="34"/>
      <c r="E1" s="34"/>
      <c r="F1" s="34"/>
      <c r="G1" s="34"/>
      <c r="H1" s="35"/>
      <c r="I1" s="39"/>
      <c r="J1" s="43"/>
      <c r="L1" s="33" t="s">
        <v>22</v>
      </c>
      <c r="M1" s="34"/>
      <c r="N1" s="34"/>
      <c r="O1" s="34"/>
      <c r="P1" s="34"/>
      <c r="Q1" s="34"/>
      <c r="R1" s="35"/>
    </row>
    <row r="2" spans="1:18" ht="14.65" thickBot="1" x14ac:dyDescent="0.5">
      <c r="A2" s="36"/>
      <c r="B2" s="37"/>
      <c r="C2" s="37"/>
      <c r="D2" s="37"/>
      <c r="E2" s="37"/>
      <c r="F2" s="37"/>
      <c r="G2" s="37"/>
      <c r="H2" s="38"/>
      <c r="I2" s="39"/>
      <c r="J2" s="43"/>
      <c r="L2" s="36"/>
      <c r="M2" s="37"/>
      <c r="N2" s="37"/>
      <c r="O2" s="37"/>
      <c r="P2" s="37"/>
      <c r="Q2" s="37"/>
      <c r="R2" s="38"/>
    </row>
    <row r="3" spans="1:18" ht="14.65" thickBot="1" x14ac:dyDescent="0.5">
      <c r="J3" s="44"/>
    </row>
    <row r="4" spans="1:18" ht="14.65" thickBot="1" x14ac:dyDescent="0.5">
      <c r="A4" s="11" t="s">
        <v>17</v>
      </c>
      <c r="B4" s="13" t="s">
        <v>16</v>
      </c>
      <c r="C4" s="12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4" t="s">
        <v>5</v>
      </c>
      <c r="I4" s="40"/>
      <c r="J4" s="45"/>
      <c r="L4" s="22" t="s">
        <v>17</v>
      </c>
      <c r="M4" s="12" t="s">
        <v>0</v>
      </c>
      <c r="N4" s="3" t="s">
        <v>1</v>
      </c>
      <c r="O4" s="3" t="s">
        <v>2</v>
      </c>
      <c r="P4" s="3" t="s">
        <v>3</v>
      </c>
      <c r="Q4" s="3" t="s">
        <v>4</v>
      </c>
      <c r="R4" s="4" t="s">
        <v>5</v>
      </c>
    </row>
    <row r="5" spans="1:18" x14ac:dyDescent="0.45">
      <c r="A5" s="8" t="s">
        <v>0</v>
      </c>
      <c r="B5" s="14"/>
      <c r="C5" s="9">
        <f>1*B5</f>
        <v>0</v>
      </c>
      <c r="D5" s="9">
        <f>10000000*B5</f>
        <v>0</v>
      </c>
      <c r="E5" s="9">
        <f>145*B5</f>
        <v>0</v>
      </c>
      <c r="F5" s="9">
        <f>0.102*B5</f>
        <v>0</v>
      </c>
      <c r="G5" s="9">
        <f>10*B5</f>
        <v>0</v>
      </c>
      <c r="H5" s="10">
        <f>0.0648*B5</f>
        <v>0</v>
      </c>
      <c r="I5" s="41"/>
      <c r="J5" s="46"/>
      <c r="L5" s="28" t="s">
        <v>0</v>
      </c>
      <c r="M5" s="9">
        <v>1</v>
      </c>
      <c r="N5" s="9">
        <f>10000000</f>
        <v>10000000</v>
      </c>
      <c r="O5" s="9">
        <f>145</f>
        <v>145</v>
      </c>
      <c r="P5" s="9">
        <f>0.102</f>
        <v>0.10199999999999999</v>
      </c>
      <c r="Q5" s="9">
        <f>10</f>
        <v>10</v>
      </c>
      <c r="R5" s="10">
        <f>0.0648</f>
        <v>6.4799999999999996E-2</v>
      </c>
    </row>
    <row r="6" spans="1:18" x14ac:dyDescent="0.45">
      <c r="A6" s="5" t="s">
        <v>1</v>
      </c>
      <c r="B6" s="15"/>
      <c r="C6" s="6">
        <f>0.0000001*B6</f>
        <v>0</v>
      </c>
      <c r="D6" s="6">
        <f>1*B6</f>
        <v>0</v>
      </c>
      <c r="E6" s="6">
        <f>0.0000145*B6</f>
        <v>0</v>
      </c>
      <c r="F6" s="6">
        <f>0.0000000102*B6</f>
        <v>0</v>
      </c>
      <c r="G6" s="6">
        <f>0.000001*B6</f>
        <v>0</v>
      </c>
      <c r="H6" s="7">
        <f>0.00000000648*B6</f>
        <v>0</v>
      </c>
      <c r="I6" s="41"/>
      <c r="J6" s="46"/>
      <c r="L6" s="29" t="s">
        <v>1</v>
      </c>
      <c r="M6" s="6">
        <f>0.0000001</f>
        <v>9.9999999999999995E-8</v>
      </c>
      <c r="N6" s="6">
        <f>1</f>
        <v>1</v>
      </c>
      <c r="O6" s="6">
        <f>0.0000145</f>
        <v>1.45E-5</v>
      </c>
      <c r="P6" s="6">
        <f>0.0000000102</f>
        <v>1.02E-8</v>
      </c>
      <c r="Q6" s="6">
        <f>0.000001</f>
        <v>9.9999999999999995E-7</v>
      </c>
      <c r="R6" s="7">
        <f>0.00000000648</f>
        <v>6.48E-9</v>
      </c>
    </row>
    <row r="7" spans="1:18" x14ac:dyDescent="0.45">
      <c r="A7" s="5" t="s">
        <v>2</v>
      </c>
      <c r="B7" s="15"/>
      <c r="C7" s="6">
        <f>0.00689*B7</f>
        <v>0</v>
      </c>
      <c r="D7" s="6">
        <f>B7*68900</f>
        <v>0</v>
      </c>
      <c r="E7" s="6">
        <f>B7*1</f>
        <v>0</v>
      </c>
      <c r="F7" s="6">
        <f>B7*0.000703</f>
        <v>0</v>
      </c>
      <c r="G7" s="6">
        <f>B7*0.0689</f>
        <v>0</v>
      </c>
      <c r="H7" s="7">
        <f>B7*0.000446</f>
        <v>0</v>
      </c>
      <c r="I7" s="41"/>
      <c r="J7" s="46"/>
      <c r="L7" s="29" t="s">
        <v>2</v>
      </c>
      <c r="M7" s="6">
        <f>0.00689</f>
        <v>6.8900000000000003E-3</v>
      </c>
      <c r="N7" s="6">
        <v>68900</v>
      </c>
      <c r="O7" s="6">
        <v>1</v>
      </c>
      <c r="P7" s="6">
        <f>0.000703</f>
        <v>7.0299999999999996E-4</v>
      </c>
      <c r="Q7" s="6">
        <v>6.8900000000000003E-2</v>
      </c>
      <c r="R7" s="7">
        <v>4.46E-4</v>
      </c>
    </row>
    <row r="8" spans="1:18" x14ac:dyDescent="0.45">
      <c r="A8" s="5" t="s">
        <v>3</v>
      </c>
      <c r="B8" s="15"/>
      <c r="C8" s="6">
        <f>B8*9.81</f>
        <v>0</v>
      </c>
      <c r="D8" s="6">
        <f>B8*98100000</f>
        <v>0</v>
      </c>
      <c r="E8" s="6">
        <f>B8*1420</f>
        <v>0</v>
      </c>
      <c r="F8" s="6">
        <f>B8*1</f>
        <v>0</v>
      </c>
      <c r="G8" s="6">
        <f>B8*98.1</f>
        <v>0</v>
      </c>
      <c r="H8" s="7">
        <f>B8*0.635</f>
        <v>0</v>
      </c>
      <c r="I8" s="41"/>
      <c r="J8" s="46"/>
      <c r="L8" s="29" t="s">
        <v>3</v>
      </c>
      <c r="M8" s="6">
        <f>9.81</f>
        <v>9.81</v>
      </c>
      <c r="N8" s="6">
        <v>98100000</v>
      </c>
      <c r="O8" s="6">
        <v>1420</v>
      </c>
      <c r="P8" s="6">
        <f>1</f>
        <v>1</v>
      </c>
      <c r="Q8" s="6">
        <v>98.1</v>
      </c>
      <c r="R8" s="7">
        <v>0.63500000000000001</v>
      </c>
    </row>
    <row r="9" spans="1:18" x14ac:dyDescent="0.45">
      <c r="A9" s="5" t="s">
        <v>4</v>
      </c>
      <c r="B9" s="15"/>
      <c r="C9" s="6">
        <f>B9*0.1</f>
        <v>0</v>
      </c>
      <c r="D9" s="6">
        <f>B9*1000000</f>
        <v>0</v>
      </c>
      <c r="E9" s="6">
        <f>B9*14.48</f>
        <v>0</v>
      </c>
      <c r="F9" s="6">
        <f>B9*0.0102</f>
        <v>0</v>
      </c>
      <c r="G9" s="6">
        <f>B9*1</f>
        <v>0</v>
      </c>
      <c r="H9" s="7">
        <f>B9*0.00648</f>
        <v>0</v>
      </c>
      <c r="I9" s="41"/>
      <c r="J9" s="46"/>
      <c r="L9" s="29" t="s">
        <v>4</v>
      </c>
      <c r="M9" s="6">
        <v>0.1</v>
      </c>
      <c r="N9" s="6">
        <v>1000000</v>
      </c>
      <c r="O9" s="6">
        <v>14.48</v>
      </c>
      <c r="P9" s="6">
        <f>0.0102</f>
        <v>1.0200000000000001E-2</v>
      </c>
      <c r="Q9" s="6">
        <v>1</v>
      </c>
      <c r="R9" s="7">
        <v>6.4799999999999996E-3</v>
      </c>
    </row>
    <row r="10" spans="1:18" ht="14.65" thickBot="1" x14ac:dyDescent="0.5">
      <c r="A10" s="5" t="s">
        <v>5</v>
      </c>
      <c r="B10" s="16"/>
      <c r="C10" s="6">
        <f>B10*15.44</f>
        <v>0</v>
      </c>
      <c r="D10" s="6">
        <f>B10*154000000</f>
        <v>0</v>
      </c>
      <c r="E10" s="6">
        <f>B10*2240</f>
        <v>0</v>
      </c>
      <c r="F10" s="6">
        <f>B10*1.54</f>
        <v>0</v>
      </c>
      <c r="G10" s="6">
        <f>B10*154</f>
        <v>0</v>
      </c>
      <c r="H10" s="7">
        <f>B10*1</f>
        <v>0</v>
      </c>
      <c r="I10" s="41"/>
      <c r="J10" s="46"/>
      <c r="L10" s="30" t="s">
        <v>5</v>
      </c>
      <c r="M10" s="6">
        <v>15.44</v>
      </c>
      <c r="N10" s="6">
        <v>154000000</v>
      </c>
      <c r="O10" s="6">
        <v>2240</v>
      </c>
      <c r="P10" s="6">
        <f>1.54</f>
        <v>1.54</v>
      </c>
      <c r="Q10" s="6">
        <v>154</v>
      </c>
      <c r="R10" s="7">
        <v>1</v>
      </c>
    </row>
    <row r="11" spans="1:18" ht="14.65" thickBot="1" x14ac:dyDescent="0.5">
      <c r="J11" s="44"/>
    </row>
    <row r="12" spans="1:18" ht="14.65" thickBot="1" x14ac:dyDescent="0.5">
      <c r="A12" s="2" t="s">
        <v>19</v>
      </c>
      <c r="B12" s="13" t="s">
        <v>16</v>
      </c>
      <c r="C12" s="18" t="s">
        <v>6</v>
      </c>
      <c r="D12" s="18" t="s">
        <v>7</v>
      </c>
      <c r="E12" s="18" t="s">
        <v>8</v>
      </c>
      <c r="F12" s="18" t="s">
        <v>9</v>
      </c>
      <c r="G12" s="18" t="s">
        <v>10</v>
      </c>
      <c r="H12" s="19" t="s">
        <v>11</v>
      </c>
      <c r="I12" s="42"/>
      <c r="J12" s="47"/>
      <c r="L12" s="11" t="s">
        <v>19</v>
      </c>
      <c r="M12" s="26" t="s">
        <v>6</v>
      </c>
      <c r="N12" s="26" t="s">
        <v>7</v>
      </c>
      <c r="O12" s="26" t="s">
        <v>8</v>
      </c>
      <c r="P12" s="26" t="s">
        <v>9</v>
      </c>
      <c r="Q12" s="26" t="s">
        <v>10</v>
      </c>
      <c r="R12" s="27" t="s">
        <v>11</v>
      </c>
    </row>
    <row r="13" spans="1:18" x14ac:dyDescent="0.45">
      <c r="A13" s="17" t="s">
        <v>6</v>
      </c>
      <c r="B13" s="14"/>
      <c r="C13">
        <f>$B$13*M13</f>
        <v>0</v>
      </c>
      <c r="D13">
        <f>$B$13*N13</f>
        <v>0</v>
      </c>
      <c r="E13">
        <f>$B$13*O13</f>
        <v>0</v>
      </c>
      <c r="F13">
        <f>$B$13*P13</f>
        <v>0</v>
      </c>
      <c r="G13">
        <f>$B$13*Q13</f>
        <v>0</v>
      </c>
      <c r="H13">
        <f>$B$13*R13</f>
        <v>0</v>
      </c>
      <c r="J13" s="44"/>
      <c r="L13" s="23" t="s">
        <v>6</v>
      </c>
      <c r="M13" s="10">
        <v>1</v>
      </c>
      <c r="N13" s="21">
        <v>10000000</v>
      </c>
      <c r="O13" s="21">
        <v>0.23899999999999999</v>
      </c>
      <c r="P13" s="21">
        <v>6.24E+18</v>
      </c>
      <c r="Q13" s="21">
        <v>9.4799999999999995E-4</v>
      </c>
      <c r="R13" s="21">
        <v>0.73799999999999999</v>
      </c>
    </row>
    <row r="14" spans="1:18" x14ac:dyDescent="0.45">
      <c r="A14" s="1" t="s">
        <v>7</v>
      </c>
      <c r="B14" s="15"/>
      <c r="C14">
        <f>$B$14*M14</f>
        <v>0</v>
      </c>
      <c r="D14">
        <f>$B$14*N14</f>
        <v>0</v>
      </c>
      <c r="E14">
        <f>$B$14*O14</f>
        <v>0</v>
      </c>
      <c r="F14">
        <f>$B$14*P14</f>
        <v>0</v>
      </c>
      <c r="G14">
        <f>$B$14*Q14</f>
        <v>0</v>
      </c>
      <c r="H14">
        <f>$B$14*R14</f>
        <v>0</v>
      </c>
      <c r="J14" s="44"/>
      <c r="K14" t="s">
        <v>18</v>
      </c>
      <c r="L14" s="24" t="s">
        <v>7</v>
      </c>
      <c r="M14" s="7">
        <v>9.9999999999999995E-8</v>
      </c>
      <c r="N14" s="20">
        <v>1</v>
      </c>
      <c r="O14" s="20">
        <v>2.3899999999999999E-8</v>
      </c>
      <c r="P14" s="20">
        <v>624000000000</v>
      </c>
      <c r="Q14" s="20">
        <v>9.4799999999999998E-11</v>
      </c>
      <c r="R14" s="20">
        <v>7.3799999999999999E-8</v>
      </c>
    </row>
    <row r="15" spans="1:18" x14ac:dyDescent="0.45">
      <c r="A15" s="1" t="s">
        <v>8</v>
      </c>
      <c r="B15" s="15"/>
      <c r="C15">
        <f>$B$15*M15</f>
        <v>0</v>
      </c>
      <c r="D15">
        <f>$B$15*N15</f>
        <v>0</v>
      </c>
      <c r="E15">
        <f>$B$15*O15</f>
        <v>0</v>
      </c>
      <c r="F15">
        <f>$B$15*P15</f>
        <v>0</v>
      </c>
      <c r="G15">
        <f>$B$15*Q15</f>
        <v>0</v>
      </c>
      <c r="H15">
        <f>$B$15*R15</f>
        <v>0</v>
      </c>
      <c r="J15" s="44"/>
      <c r="L15" s="24" t="s">
        <v>8</v>
      </c>
      <c r="M15" s="7">
        <v>4.1900000000000004</v>
      </c>
      <c r="N15" s="20">
        <v>41900000</v>
      </c>
      <c r="O15" s="20">
        <v>1</v>
      </c>
      <c r="P15" s="20">
        <v>2.61E+19</v>
      </c>
      <c r="Q15" s="20">
        <v>3.9699999999999996E-3</v>
      </c>
      <c r="R15" s="20">
        <v>3.09</v>
      </c>
    </row>
    <row r="16" spans="1:18" x14ac:dyDescent="0.45">
      <c r="A16" s="1" t="s">
        <v>9</v>
      </c>
      <c r="B16" s="15"/>
      <c r="C16">
        <f>$B$16*M16</f>
        <v>0</v>
      </c>
      <c r="D16">
        <f>$B$16*N16</f>
        <v>0</v>
      </c>
      <c r="E16">
        <f>$B$16*O16</f>
        <v>0</v>
      </c>
      <c r="F16">
        <f>$B$16*P16</f>
        <v>0</v>
      </c>
      <c r="G16">
        <f>$B$16*Q16</f>
        <v>0</v>
      </c>
      <c r="H16">
        <f>$B$16*R16</f>
        <v>0</v>
      </c>
      <c r="J16" s="44"/>
      <c r="L16" s="24" t="s">
        <v>9</v>
      </c>
      <c r="M16" s="7">
        <v>1.5999999999999999E-19</v>
      </c>
      <c r="N16" s="20">
        <v>1.6E-12</v>
      </c>
      <c r="O16" s="20">
        <v>3.3800000000000003E-20</v>
      </c>
      <c r="P16" s="20">
        <v>1</v>
      </c>
      <c r="Q16" s="20">
        <v>1.52E-22</v>
      </c>
      <c r="R16" s="20">
        <v>1.1799999999999999E-19</v>
      </c>
    </row>
    <row r="17" spans="1:18" x14ac:dyDescent="0.45">
      <c r="A17" s="1" t="s">
        <v>10</v>
      </c>
      <c r="B17" s="15"/>
      <c r="C17">
        <f>$B$17*M17</f>
        <v>0</v>
      </c>
      <c r="D17">
        <f>$B$17*N17</f>
        <v>0</v>
      </c>
      <c r="E17">
        <f>$B$17*O17</f>
        <v>0</v>
      </c>
      <c r="F17">
        <f>$B$17*P17</f>
        <v>0</v>
      </c>
      <c r="G17">
        <f>$B$17*Q17</f>
        <v>0</v>
      </c>
      <c r="H17">
        <f>$B$17*R17</f>
        <v>0</v>
      </c>
      <c r="J17" s="44"/>
      <c r="L17" s="24" t="s">
        <v>10</v>
      </c>
      <c r="M17" s="7">
        <v>1060</v>
      </c>
      <c r="N17" s="20">
        <v>10600000000</v>
      </c>
      <c r="O17" s="20">
        <v>252</v>
      </c>
      <c r="P17" s="20">
        <v>6.5900000000000005E+21</v>
      </c>
      <c r="Q17" s="20">
        <v>1</v>
      </c>
      <c r="R17" s="20">
        <v>778</v>
      </c>
    </row>
    <row r="18" spans="1:18" ht="14.65" thickBot="1" x14ac:dyDescent="0.5">
      <c r="A18" s="1" t="s">
        <v>11</v>
      </c>
      <c r="B18" s="16"/>
      <c r="C18">
        <f>$B$18*M18</f>
        <v>0</v>
      </c>
      <c r="D18">
        <f>$B$18*N18</f>
        <v>0</v>
      </c>
      <c r="E18">
        <f>$B$18*O18</f>
        <v>0</v>
      </c>
      <c r="F18">
        <f>$B$18*P18</f>
        <v>0</v>
      </c>
      <c r="G18">
        <f>$B$18*Q18</f>
        <v>0</v>
      </c>
      <c r="H18">
        <f>$B$18*R18</f>
        <v>0</v>
      </c>
      <c r="J18" s="44"/>
      <c r="L18" s="25" t="s">
        <v>11</v>
      </c>
      <c r="M18" s="7">
        <v>1.36</v>
      </c>
      <c r="N18" s="20">
        <v>13600000</v>
      </c>
      <c r="O18" s="20">
        <v>0.32400000000000001</v>
      </c>
      <c r="P18" s="20">
        <v>8.46E+18</v>
      </c>
      <c r="Q18" s="20">
        <v>1.2899999999999999E-3</v>
      </c>
      <c r="R18" s="20">
        <v>1</v>
      </c>
    </row>
    <row r="19" spans="1:18" ht="14.65" thickBot="1" x14ac:dyDescent="0.5">
      <c r="J19" s="44"/>
    </row>
    <row r="20" spans="1:18" ht="14.65" thickBot="1" x14ac:dyDescent="0.5">
      <c r="A20" s="22" t="s">
        <v>20</v>
      </c>
      <c r="B20" s="13" t="s">
        <v>16</v>
      </c>
      <c r="C20" s="32" t="s">
        <v>12</v>
      </c>
      <c r="D20" s="26" t="s">
        <v>13</v>
      </c>
      <c r="E20" s="26" t="s">
        <v>14</v>
      </c>
      <c r="F20" s="27" t="s">
        <v>15</v>
      </c>
      <c r="J20" s="44"/>
      <c r="L20" s="2" t="s">
        <v>20</v>
      </c>
      <c r="M20" s="26" t="s">
        <v>12</v>
      </c>
      <c r="N20" s="26" t="s">
        <v>13</v>
      </c>
      <c r="O20" s="26" t="s">
        <v>14</v>
      </c>
      <c r="P20" s="27" t="s">
        <v>15</v>
      </c>
    </row>
    <row r="21" spans="1:18" x14ac:dyDescent="0.45">
      <c r="A21" s="23" t="s">
        <v>12</v>
      </c>
      <c r="B21" s="14"/>
      <c r="C21" s="10">
        <f>$B$21*M21</f>
        <v>0</v>
      </c>
      <c r="D21" s="10">
        <f t="shared" ref="D21:F21" si="0">$B$21*N21</f>
        <v>0</v>
      </c>
      <c r="E21" s="10">
        <f t="shared" si="0"/>
        <v>0</v>
      </c>
      <c r="F21" s="10">
        <f t="shared" si="0"/>
        <v>0</v>
      </c>
      <c r="J21" s="44"/>
      <c r="L21" s="23" t="s">
        <v>12</v>
      </c>
      <c r="M21" s="10">
        <v>1</v>
      </c>
      <c r="N21" s="21">
        <v>1E-10</v>
      </c>
      <c r="O21" s="21">
        <v>1.34</v>
      </c>
      <c r="P21" s="21">
        <v>738</v>
      </c>
    </row>
    <row r="22" spans="1:18" x14ac:dyDescent="0.45">
      <c r="A22" s="24" t="s">
        <v>13</v>
      </c>
      <c r="B22" s="15"/>
      <c r="C22" s="7">
        <f>$B$22*M22</f>
        <v>0</v>
      </c>
      <c r="D22" s="7">
        <f t="shared" ref="D22:F22" si="1">$B$22*N22</f>
        <v>0</v>
      </c>
      <c r="E22" s="7">
        <f t="shared" si="1"/>
        <v>0</v>
      </c>
      <c r="F22" s="7">
        <f t="shared" si="1"/>
        <v>0</v>
      </c>
      <c r="J22" s="44"/>
      <c r="L22" s="24" t="s">
        <v>13</v>
      </c>
      <c r="M22" s="7">
        <v>1E-10</v>
      </c>
      <c r="N22" s="20">
        <v>1</v>
      </c>
      <c r="O22" s="20">
        <v>1.34E-10</v>
      </c>
      <c r="P22" s="20">
        <v>7.3799999999999999E-8</v>
      </c>
    </row>
    <row r="23" spans="1:18" x14ac:dyDescent="0.45">
      <c r="A23" s="24" t="s">
        <v>14</v>
      </c>
      <c r="B23" s="15"/>
      <c r="C23" s="7">
        <f>$B$23*M23</f>
        <v>0</v>
      </c>
      <c r="D23" s="7">
        <f t="shared" ref="D23:F23" si="2">$B$23*N23</f>
        <v>0</v>
      </c>
      <c r="E23" s="7">
        <f t="shared" si="2"/>
        <v>0</v>
      </c>
      <c r="F23" s="7">
        <f t="shared" si="2"/>
        <v>0</v>
      </c>
      <c r="J23" s="44"/>
      <c r="L23" s="24" t="s">
        <v>14</v>
      </c>
      <c r="M23" s="7">
        <v>0.746</v>
      </c>
      <c r="N23" s="20">
        <v>7460000000</v>
      </c>
      <c r="O23" s="20">
        <v>1</v>
      </c>
      <c r="P23" s="20">
        <v>1550</v>
      </c>
    </row>
    <row r="24" spans="1:18" ht="14.65" thickBot="1" x14ac:dyDescent="0.5">
      <c r="A24" s="25" t="s">
        <v>15</v>
      </c>
      <c r="B24" s="16"/>
      <c r="C24" s="7">
        <f>$B$24*M24</f>
        <v>0</v>
      </c>
      <c r="D24" s="7">
        <f t="shared" ref="D24:F24" si="3">$B$24*N24</f>
        <v>0</v>
      </c>
      <c r="E24" s="7">
        <f t="shared" si="3"/>
        <v>0</v>
      </c>
      <c r="F24" s="7">
        <f t="shared" si="3"/>
        <v>0</v>
      </c>
      <c r="J24" s="44"/>
      <c r="L24" s="25" t="s">
        <v>15</v>
      </c>
      <c r="M24" s="7">
        <v>1.3600000000000001E-3</v>
      </c>
      <c r="N24" s="20">
        <v>13600000</v>
      </c>
      <c r="O24" s="20">
        <v>1.82E-3</v>
      </c>
      <c r="P24" s="20">
        <v>1</v>
      </c>
    </row>
    <row r="25" spans="1:18" x14ac:dyDescent="0.45">
      <c r="B25" s="31"/>
    </row>
    <row r="26" spans="1:18" x14ac:dyDescent="0.45">
      <c r="B26" s="31"/>
    </row>
  </sheetData>
  <mergeCells count="2">
    <mergeCell ref="A1:H2"/>
    <mergeCell ref="L1:R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04575B0-2DCA-4C9E-9160-D8FDFF42356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Conversion 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Yash Vaghela</cp:lastModifiedBy>
  <dcterms:created xsi:type="dcterms:W3CDTF">2025-05-15T16:56:47Z</dcterms:created>
  <dcterms:modified xsi:type="dcterms:W3CDTF">2025-05-15T17:36:51Z</dcterms:modified>
</cp:coreProperties>
</file>