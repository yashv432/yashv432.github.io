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ashv\Downloads\QMUL Year 2 modules\Semester 2\EMS501U - Designing for Sustainable Manufacture\Exam Prep\"/>
    </mc:Choice>
  </mc:AlternateContent>
  <xr:revisionPtr revIDLastSave="0" documentId="13_ncr:1_{8B025A23-D3CF-44B6-BB09-18FB29653CAE}" xr6:coauthVersionLast="47" xr6:coauthVersionMax="47" xr10:uidLastSave="{00000000-0000-0000-0000-000000000000}"/>
  <bookViews>
    <workbookView xWindow="-98" yWindow="-98" windowWidth="19396" windowHeight="11475" xr2:uid="{B80BF410-154E-4A60-8685-422C7C147F4D}"/>
  </bookViews>
  <sheets>
    <sheet name="Cost per unit calc" sheetId="1" r:id="rId1"/>
  </sheets>
  <definedNames>
    <definedName name="solver_eng" localSheetId="0" hidden="1">0</definedName>
    <definedName name="solver_opt" localSheetId="0" hidden="1">'Cost per unit calc'!$B$2</definedName>
    <definedName name="solver_typ" localSheetId="0" hidden="1">3</definedName>
    <definedName name="solver_val" localSheetId="0" hidden="1">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1" l="1"/>
  <c r="G3" i="1"/>
  <c r="J5" i="1"/>
  <c r="J6" i="1" s="1"/>
  <c r="M3" i="1" s="1"/>
  <c r="B5" i="1"/>
  <c r="B6" i="1" s="1"/>
  <c r="E3" i="1" s="1"/>
  <c r="J12" i="1" l="1"/>
  <c r="J16" i="1"/>
  <c r="B16" i="1"/>
  <c r="B12" i="1"/>
  <c r="J2" i="1"/>
  <c r="B2" i="1"/>
</calcChain>
</file>

<file path=xl/sharedStrings.xml><?xml version="1.0" encoding="utf-8"?>
<sst xmlns="http://schemas.openxmlformats.org/spreadsheetml/2006/main" count="51" uniqueCount="28">
  <si>
    <t xml:space="preserve">Scrap fraction, f = </t>
  </si>
  <si>
    <t xml:space="preserve">Batch size, n = </t>
  </si>
  <si>
    <t>Load factor, L =</t>
  </si>
  <si>
    <t>Cost per unit, C (without extra stuff) =</t>
  </si>
  <si>
    <t>Cost per unit, C (with extra stuff) =</t>
  </si>
  <si>
    <r>
      <t>Capital cost, C</t>
    </r>
    <r>
      <rPr>
        <sz val="8"/>
        <color rgb="FF00B050"/>
        <rFont val="Aptos Narrow"/>
        <family val="2"/>
        <scheme val="minor"/>
      </rPr>
      <t xml:space="preserve">c </t>
    </r>
    <r>
      <rPr>
        <sz val="11"/>
        <color rgb="FF00B050"/>
        <rFont val="Aptos Narrow"/>
        <family val="2"/>
        <scheme val="minor"/>
      </rPr>
      <t xml:space="preserve">= </t>
    </r>
  </si>
  <si>
    <r>
      <t>Write-off time, t</t>
    </r>
    <r>
      <rPr>
        <sz val="8"/>
        <color rgb="FF00B050"/>
        <rFont val="Aptos Narrow"/>
        <family val="2"/>
        <scheme val="minor"/>
      </rPr>
      <t>wo</t>
    </r>
    <r>
      <rPr>
        <sz val="11"/>
        <color rgb="FF00B050"/>
        <rFont val="Aptos Narrow"/>
        <family val="2"/>
        <scheme val="minor"/>
      </rPr>
      <t xml:space="preserve"> = </t>
    </r>
  </si>
  <si>
    <r>
      <t>Gross overhead rate, C</t>
    </r>
    <r>
      <rPr>
        <sz val="8"/>
        <color rgb="FF00B050"/>
        <rFont val="Aptos Narrow"/>
        <family val="2"/>
        <scheme val="minor"/>
      </rPr>
      <t>oh</t>
    </r>
    <r>
      <rPr>
        <sz val="11"/>
        <color rgb="FF00B050"/>
        <rFont val="Aptos Narrow"/>
        <family val="2"/>
        <scheme val="minor"/>
      </rPr>
      <t xml:space="preserve">_dot = </t>
    </r>
  </si>
  <si>
    <t>mass per unit, m (kg) =</t>
  </si>
  <si>
    <t>Waste mass per unit (kg) =</t>
  </si>
  <si>
    <t xml:space="preserve">Total mass per unit (kg) = </t>
  </si>
  <si>
    <r>
      <t>Material costs, C</t>
    </r>
    <r>
      <rPr>
        <sz val="8"/>
        <color rgb="FF00B050"/>
        <rFont val="Aptos Narrow"/>
        <family val="2"/>
        <scheme val="minor"/>
      </rPr>
      <t xml:space="preserve">m </t>
    </r>
    <r>
      <rPr>
        <sz val="11"/>
        <color rgb="FF00B050"/>
        <rFont val="Aptos Narrow"/>
        <family val="2"/>
        <scheme val="minor"/>
      </rPr>
      <t>(£/kg) =</t>
    </r>
  </si>
  <si>
    <r>
      <t>Tooling cost, C</t>
    </r>
    <r>
      <rPr>
        <sz val="8"/>
        <color rgb="FF00B050"/>
        <rFont val="Aptos Narrow"/>
        <family val="2"/>
        <scheme val="minor"/>
      </rPr>
      <t>t</t>
    </r>
    <r>
      <rPr>
        <sz val="11"/>
        <color rgb="FF00B050"/>
        <rFont val="Aptos Narrow"/>
        <family val="2"/>
        <scheme val="minor"/>
      </rPr>
      <t xml:space="preserve"> (£) = </t>
    </r>
  </si>
  <si>
    <t>Key</t>
  </si>
  <si>
    <t>Red = Don’t change</t>
  </si>
  <si>
    <t>Green = Change values</t>
  </si>
  <si>
    <t>METHOD 1</t>
  </si>
  <si>
    <t>METHOD 2</t>
  </si>
  <si>
    <t>n</t>
  </si>
  <si>
    <t>C =</t>
  </si>
  <si>
    <t>+</t>
  </si>
  <si>
    <t>Equation 1:</t>
  </si>
  <si>
    <t>Equation 2:</t>
  </si>
  <si>
    <t>Solve equation 1 and 2 to obtain crossover point</t>
  </si>
  <si>
    <t>Rate of production, n_dot (parts/sec) =</t>
  </si>
  <si>
    <t>If combined given, use this and ignore the 5 cells below</t>
  </si>
  <si>
    <t>Combined running costs (£/sec) =</t>
  </si>
  <si>
    <t>Extra: if capital/labour/energy is not ignored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</si>
</sst>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B050"/>
      <name val="Aptos Narrow"/>
      <family val="2"/>
      <scheme val="minor"/>
    </font>
    <font>
      <sz val="8"/>
      <color rgb="FF00B05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2" borderId="0" xfId="0" applyFill="1"/>
    <xf numFmtId="0" fontId="1" fillId="0" borderId="4" xfId="0" applyFont="1" applyBorder="1"/>
    <xf numFmtId="0" fontId="2" fillId="0" borderId="4" xfId="0" applyFont="1" applyBorder="1"/>
    <xf numFmtId="0" fontId="0" fillId="0" borderId="4" xfId="0" applyBorder="1"/>
    <xf numFmtId="0" fontId="2" fillId="0" borderId="5" xfId="0" applyFont="1" applyBorder="1"/>
    <xf numFmtId="0" fontId="0" fillId="0" borderId="5" xfId="0" applyBorder="1"/>
    <xf numFmtId="0" fontId="1" fillId="0" borderId="6" xfId="0" applyFont="1" applyBorder="1"/>
    <xf numFmtId="0" fontId="0" fillId="3" borderId="7" xfId="0" applyFill="1" applyBorder="1"/>
    <xf numFmtId="0" fontId="1" fillId="0" borderId="11" xfId="0" applyFont="1" applyBorder="1"/>
    <xf numFmtId="0" fontId="0" fillId="3" borderId="12" xfId="0" applyFill="1" applyBorder="1"/>
    <xf numFmtId="0" fontId="0" fillId="0" borderId="1" xfId="0" applyBorder="1"/>
    <xf numFmtId="0" fontId="0" fillId="2" borderId="0" xfId="0" applyFill="1" applyAlignment="1">
      <alignment horizontal="center"/>
    </xf>
    <xf numFmtId="0" fontId="0" fillId="2" borderId="10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14" xfId="0" applyBorder="1"/>
    <xf numFmtId="0" fontId="0" fillId="2" borderId="1" xfId="0" applyFill="1" applyBorder="1" applyAlignment="1">
      <alignment horizontal="center"/>
    </xf>
    <xf numFmtId="0" fontId="1" fillId="2" borderId="5" xfId="0" applyFont="1" applyFill="1" applyBorder="1"/>
    <xf numFmtId="0" fontId="2" fillId="2" borderId="4" xfId="0" applyFont="1" applyFill="1" applyBorder="1"/>
    <xf numFmtId="0" fontId="1" fillId="0" borderId="0" xfId="0" applyFont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1" fillId="0" borderId="0" xfId="0" applyFont="1"/>
    <xf numFmtId="0" fontId="0" fillId="3" borderId="4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861A9D1-2DED-41F4-95EC-B8BE2BB03763}">
  <we:reference id="wa104100404" version="3.0.0.1" store="en-GB" storeType="OMEX"/>
  <we:alternateReferences>
    <we:reference id="wa104100404" version="3.0.0.1" store="wa104100404" storeType="OMEX"/>
  </we:alternateReferences>
  <we:properties>
    <we:property name="UniqueID" value="&quot;20253301746025914332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09D6D-5DCF-4633-8CF5-DEDA252EA24D}">
  <dimension ref="A1:O24"/>
  <sheetViews>
    <sheetView tabSelected="1" zoomScale="70" zoomScaleNormal="70" workbookViewId="0">
      <selection activeCell="L19" sqref="L19"/>
    </sheetView>
  </sheetViews>
  <sheetFormatPr defaultRowHeight="14.25" x14ac:dyDescent="0.45"/>
  <cols>
    <col min="1" max="1" width="32" bestFit="1" customWidth="1"/>
    <col min="2" max="2" width="12.33203125" customWidth="1"/>
    <col min="4" max="4" width="9.86328125" bestFit="1" customWidth="1"/>
    <col min="7" max="7" width="10.6640625" customWidth="1"/>
    <col min="9" max="9" width="32" bestFit="1" customWidth="1"/>
    <col min="10" max="10" width="12.33203125" bestFit="1" customWidth="1"/>
    <col min="12" max="12" width="9.86328125" bestFit="1" customWidth="1"/>
    <col min="15" max="15" width="11.46484375" customWidth="1"/>
  </cols>
  <sheetData>
    <row r="1" spans="1:15" ht="14.65" thickBot="1" x14ac:dyDescent="0.5">
      <c r="A1" s="20" t="s">
        <v>16</v>
      </c>
      <c r="B1" s="21"/>
      <c r="C1" s="21"/>
      <c r="D1" s="21"/>
      <c r="E1" s="21"/>
      <c r="F1" s="21"/>
      <c r="G1" s="22"/>
      <c r="I1" s="20" t="s">
        <v>17</v>
      </c>
      <c r="J1" s="21"/>
      <c r="K1" s="21"/>
      <c r="L1" s="21"/>
      <c r="M1" s="21"/>
      <c r="N1" s="21"/>
      <c r="O1" s="22"/>
    </row>
    <row r="2" spans="1:15" ht="14.65" thickBot="1" x14ac:dyDescent="0.5">
      <c r="A2" s="9" t="s">
        <v>3</v>
      </c>
      <c r="B2" s="10" t="e">
        <f>((B3*B7)/(1-B6)) + (B8/B9)</f>
        <v>#DIV/0!</v>
      </c>
      <c r="D2" s="11" t="s">
        <v>21</v>
      </c>
      <c r="I2" s="9" t="s">
        <v>3</v>
      </c>
      <c r="J2" s="10" t="e">
        <f>((J3*J7)/(1-J6)) + (J8/J9)</f>
        <v>#DIV/0!</v>
      </c>
      <c r="L2" s="15" t="s">
        <v>22</v>
      </c>
    </row>
    <row r="3" spans="1:15" x14ac:dyDescent="0.45">
      <c r="A3" s="5" t="s">
        <v>8</v>
      </c>
      <c r="B3" s="6"/>
      <c r="D3" s="12" t="s">
        <v>19</v>
      </c>
      <c r="E3" s="12" t="e">
        <f>((B3*B7)/(1-B6))</f>
        <v>#DIV/0!</v>
      </c>
      <c r="F3" s="12" t="s">
        <v>20</v>
      </c>
      <c r="G3" s="13">
        <f>B8</f>
        <v>0</v>
      </c>
      <c r="I3" s="5" t="s">
        <v>8</v>
      </c>
      <c r="J3" s="6"/>
      <c r="L3" s="12" t="s">
        <v>19</v>
      </c>
      <c r="M3" s="12" t="e">
        <f>((J3*J7)/(1-J6))</f>
        <v>#DIV/0!</v>
      </c>
      <c r="N3" s="12" t="s">
        <v>20</v>
      </c>
      <c r="O3" s="13">
        <f>J8</f>
        <v>0</v>
      </c>
    </row>
    <row r="4" spans="1:15" x14ac:dyDescent="0.45">
      <c r="A4" s="3" t="s">
        <v>9</v>
      </c>
      <c r="B4" s="4"/>
      <c r="D4" s="1"/>
      <c r="E4" s="1"/>
      <c r="F4" s="1"/>
      <c r="G4" s="14" t="s">
        <v>18</v>
      </c>
      <c r="I4" s="3" t="s">
        <v>9</v>
      </c>
      <c r="J4" s="4"/>
      <c r="L4" s="1"/>
      <c r="M4" s="1"/>
      <c r="N4" s="1"/>
      <c r="O4" s="14" t="s">
        <v>18</v>
      </c>
    </row>
    <row r="5" spans="1:15" x14ac:dyDescent="0.45">
      <c r="A5" s="2" t="s">
        <v>10</v>
      </c>
      <c r="B5" s="4">
        <f>B3+B4</f>
        <v>0</v>
      </c>
      <c r="I5" s="2" t="s">
        <v>10</v>
      </c>
      <c r="J5" s="4">
        <f>J3+J4</f>
        <v>0</v>
      </c>
    </row>
    <row r="6" spans="1:15" x14ac:dyDescent="0.45">
      <c r="A6" s="2" t="s">
        <v>0</v>
      </c>
      <c r="B6" s="4" t="e">
        <f>B4/B5</f>
        <v>#DIV/0!</v>
      </c>
      <c r="D6" s="19" t="s">
        <v>23</v>
      </c>
      <c r="E6" s="19"/>
      <c r="F6" s="19"/>
      <c r="G6" s="19"/>
      <c r="I6" s="2" t="s">
        <v>0</v>
      </c>
      <c r="J6" s="4" t="e">
        <f>J4/J5</f>
        <v>#DIV/0!</v>
      </c>
      <c r="L6" s="19" t="s">
        <v>23</v>
      </c>
      <c r="M6" s="19"/>
      <c r="N6" s="19"/>
      <c r="O6" s="19"/>
    </row>
    <row r="7" spans="1:15" x14ac:dyDescent="0.45">
      <c r="A7" s="3" t="s">
        <v>11</v>
      </c>
      <c r="B7" s="4"/>
      <c r="I7" s="3" t="s">
        <v>11</v>
      </c>
      <c r="J7" s="4"/>
    </row>
    <row r="8" spans="1:15" x14ac:dyDescent="0.45">
      <c r="A8" s="3" t="s">
        <v>12</v>
      </c>
      <c r="B8" s="4"/>
      <c r="I8" s="3" t="s">
        <v>12</v>
      </c>
      <c r="J8" s="4"/>
    </row>
    <row r="9" spans="1:15" x14ac:dyDescent="0.45">
      <c r="A9" s="3" t="s">
        <v>1</v>
      </c>
      <c r="B9" s="4"/>
      <c r="I9" s="3" t="s">
        <v>1</v>
      </c>
      <c r="J9" s="4"/>
    </row>
    <row r="10" spans="1:15" ht="14.65" thickBot="1" x14ac:dyDescent="0.5"/>
    <row r="11" spans="1:15" ht="14.65" thickBot="1" x14ac:dyDescent="0.5">
      <c r="A11" s="23" t="s">
        <v>27</v>
      </c>
      <c r="B11" s="24"/>
      <c r="I11" s="23" t="s">
        <v>27</v>
      </c>
      <c r="J11" s="24"/>
    </row>
    <row r="12" spans="1:15" ht="14.65" thickBot="1" x14ac:dyDescent="0.5">
      <c r="A12" s="7" t="s">
        <v>4</v>
      </c>
      <c r="B12" s="8" t="e">
        <f>((B3*B7)/(1-B6)) + (B8/B9) + (1/B13)*(B14)</f>
        <v>#DIV/0!</v>
      </c>
      <c r="I12" s="7" t="s">
        <v>4</v>
      </c>
      <c r="J12" s="8" t="e">
        <f>((J3*J7)/(1-J6)) + (J8/J9) + (1/J13)*(J14)</f>
        <v>#DIV/0!</v>
      </c>
    </row>
    <row r="13" spans="1:15" x14ac:dyDescent="0.45">
      <c r="A13" s="3" t="s">
        <v>24</v>
      </c>
      <c r="B13" s="4"/>
      <c r="I13" s="3" t="s">
        <v>24</v>
      </c>
      <c r="J13" s="4"/>
    </row>
    <row r="14" spans="1:15" x14ac:dyDescent="0.45">
      <c r="A14" s="3" t="s">
        <v>26</v>
      </c>
      <c r="B14" s="4"/>
      <c r="C14" s="25" t="s">
        <v>25</v>
      </c>
      <c r="I14" s="3" t="s">
        <v>26</v>
      </c>
      <c r="J14" s="4"/>
      <c r="K14" s="25" t="s">
        <v>25</v>
      </c>
    </row>
    <row r="15" spans="1:15" ht="14.65" thickBot="1" x14ac:dyDescent="0.5"/>
    <row r="16" spans="1:15" ht="14.65" thickBot="1" x14ac:dyDescent="0.5">
      <c r="A16" s="7" t="s">
        <v>4</v>
      </c>
      <c r="B16" s="26" t="e">
        <f>((B3*B7)/(1-B6)) + (B8/B9) + (1/B13)*((B17/(B18*B19))+(B20))</f>
        <v>#DIV/0!</v>
      </c>
      <c r="I16" s="7" t="s">
        <v>4</v>
      </c>
      <c r="J16" s="26" t="e">
        <f>((J3*J7)/(1-J6)) + (J8/J9) + (1/J13)*((J17/(J18*J19))+(J20))</f>
        <v>#DIV/0!</v>
      </c>
    </row>
    <row r="17" spans="1:10" x14ac:dyDescent="0.45">
      <c r="A17" s="3" t="s">
        <v>5</v>
      </c>
      <c r="B17" s="4"/>
      <c r="I17" s="3" t="s">
        <v>5</v>
      </c>
      <c r="J17" s="4"/>
    </row>
    <row r="18" spans="1:10" x14ac:dyDescent="0.45">
      <c r="A18" s="3" t="s">
        <v>2</v>
      </c>
      <c r="B18" s="4"/>
      <c r="I18" s="3" t="s">
        <v>2</v>
      </c>
      <c r="J18" s="4"/>
    </row>
    <row r="19" spans="1:10" x14ac:dyDescent="0.45">
      <c r="A19" s="3" t="s">
        <v>6</v>
      </c>
      <c r="B19" s="4"/>
      <c r="I19" s="3" t="s">
        <v>6</v>
      </c>
      <c r="J19" s="4"/>
    </row>
    <row r="20" spans="1:10" x14ac:dyDescent="0.45">
      <c r="A20" s="3" t="s">
        <v>7</v>
      </c>
      <c r="B20" s="4"/>
      <c r="I20" s="3" t="s">
        <v>7</v>
      </c>
      <c r="J20" s="4"/>
    </row>
    <row r="21" spans="1:10" ht="14.65" thickBot="1" x14ac:dyDescent="0.5"/>
    <row r="22" spans="1:10" ht="14.65" thickBot="1" x14ac:dyDescent="0.5">
      <c r="A22" s="16" t="s">
        <v>13</v>
      </c>
    </row>
    <row r="23" spans="1:10" x14ac:dyDescent="0.45">
      <c r="A23" s="17" t="s">
        <v>14</v>
      </c>
    </row>
    <row r="24" spans="1:10" x14ac:dyDescent="0.45">
      <c r="A24" s="18" t="s">
        <v>15</v>
      </c>
    </row>
  </sheetData>
  <mergeCells count="6">
    <mergeCell ref="L6:O6"/>
    <mergeCell ref="I1:O1"/>
    <mergeCell ref="A11:B11"/>
    <mergeCell ref="I11:J11"/>
    <mergeCell ref="A1:G1"/>
    <mergeCell ref="D6:G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Cost per unit calc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Yash Vaghela</dc:creator>
  <cp:lastModifiedBy>Yash Vaghela</cp:lastModifiedBy>
  <dcterms:created xsi:type="dcterms:W3CDTF">2025-04-30T14:11:32Z</dcterms:created>
  <dcterms:modified xsi:type="dcterms:W3CDTF">2025-05-23T17:30:22Z</dcterms:modified>
</cp:coreProperties>
</file>